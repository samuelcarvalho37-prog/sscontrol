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d587e4816149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525f214e56b4135"/>
    <x:sheet xmlns:r="http://schemas.openxmlformats.org/officeDocument/2006/relationships" name="Roteiro de teste" sheetId="2" r:id="R676e02e9f3b74e94"/>
    <x:sheet xmlns:r="http://schemas.openxmlformats.org/officeDocument/2006/relationships" name="Estrutura" sheetId="3" r:id="R2e71d8287c1b4949"/>
    <x:sheet xmlns:r="http://schemas.openxmlformats.org/officeDocument/2006/relationships" name="Equipamentos" sheetId="4" r:id="R30c3224c17f84a3b"/>
    <x:sheet xmlns:r="http://schemas.openxmlformats.org/officeDocument/2006/relationships" name="Componentes" sheetId="5" r:id="Re0c5a35bf0394d30"/>
    <x:sheet xmlns:r="http://schemas.openxmlformats.org/officeDocument/2006/relationships" name="Materiais" sheetId="6" r:id="R6eeef09671ea4dc8"/>
    <x:sheet xmlns:r="http://schemas.openxmlformats.org/officeDocument/2006/relationships" name="Cenarios de OS" sheetId="7" r:id="Reea160c7746c4480"/>
    <x:sheet xmlns:r="http://schemas.openxmlformats.org/officeDocument/2006/relationships" name="Movimentos" sheetId="8" r:id="R4861bbc0b11940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R$ #,##0.00"/>
    <x:numFmt numFmtId="201" formatCode="dd/mm/yyyy"/>
    <x:numFmt numFmtId="202" formatCode="#,##0.00"/>
  </x:numFmts>
  <x:fonts count="9">
    <x:font>
      <x:sz val="11"/>
      <x:name val="Carlito"/>
    </x:font>
    <x:font>
      <x:b/>
      <x:sz val="16"/>
      <x:color rgb="FF0D2948"/>
      <x:name val="Arial"/>
    </x:font>
    <x:font>
      <x:i/>
      <x:sz val="10"/>
      <x:color rgb="FF506782"/>
      <x:name val="Arial"/>
    </x:font>
    <x:font>
      <x:b/>
      <x:sz val="10"/>
      <x:color rgb="FFFFFFFF"/>
      <x:name val="Arial"/>
    </x:font>
    <x:font>
      <x:b/>
      <x:sz val="11"/>
      <x:color rgb="FF0D2948"/>
      <x:name val="Arial"/>
    </x:font>
    <x:font>
      <x:b/>
      <x:sz val="11"/>
      <x:color rgb="FFFFFFFF"/>
      <x:name val="Arial"/>
    </x:font>
    <x:font>
      <x:sz val="10"/>
      <x:color rgb="FF243A55"/>
      <x:name val="Arial"/>
    </x:font>
    <x:font>
      <x:i/>
      <x:sz val="10"/>
      <x:color rgb="FF6D4B00"/>
      <x:name val="Arial"/>
    </x:font>
    <x:font>
      <x:sz val="10"/>
      <x:color rgb="FF182B4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D2948"/>
      </x:patternFill>
    </x:fill>
    <x:fill>
      <x:patternFill patternType="solid">
        <x:fgColor rgb="FFEAF2FF"/>
      </x:patternFill>
    </x:fill>
    <x:fill>
      <x:patternFill patternType="solid">
        <x:fgColor rgb="FF1167D8"/>
      </x:patternFill>
    </x:fill>
    <x:fill>
      <x:patternFill patternType="solid">
        <x:fgColor rgb="FFF6F8FC"/>
      </x:patternFill>
    </x:fill>
    <x:fill>
      <x:patternFill patternType="solid">
        <x:fgColor rgb="FFFFF4CC"/>
      </x:patternFill>
    </x:fill>
  </x:fills>
  <x:borders count="15">
    <x:border/>
    <x:border>
      <x:bottom style="thin">
        <x:color rgb="FF1167D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8EA"/>
      </x:left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right style="thin">
        <x:color rgb="FFC9D8EA"/>
      </x:right>
      <x:bottom style="thin">
        <x:color rgb="FFC9D8EA"/>
      </x:bottom>
    </x:border>
    <x:border>
      <x:left style="thin">
        <x:color rgb="FFC9D8EA"/>
      </x:left>
      <x:bottom style="thin">
        <x:color rgb="FFC9D8EA"/>
      </x:bottom>
    </x:border>
    <x:border>
      <x:right style="thin">
        <x:color rgb="FFC9D8EA"/>
      </x:right>
      <x:top style="thin">
        <x:color rgb="FFC9D8EA"/>
      </x:top>
      <x:bottom style="thin">
        <x:color rgb="FFC9D8EA"/>
      </x:bottom>
    </x:border>
    <x:border>
      <x:left style="thin">
        <x:color rgb="FFC9D8EA"/>
      </x:left>
      <x:top style="thin">
        <x:color rgb="FFC9D8EA"/>
      </x:top>
      <x:bottom style="thin">
        <x:color rgb="FFC9D8EA"/>
      </x:bottom>
    </x:border>
    <x:border>
      <x:right style="thin">
        <x:color rgb="FFC9D8EA"/>
      </x:right>
      <x:top style="thin">
        <x:color rgb="FFC9D8EA"/>
      </x:top>
    </x:border>
    <x:border>
      <x:left style="thin">
        <x:color rgb="FFC9D8EA"/>
      </x:left>
      <x:right style="thin">
        <x:color rgb="FFC9D8EA"/>
      </x:right>
      <x:top style="thin">
        <x:color rgb="FFC9D8EA"/>
      </x:top>
    </x:border>
    <x:border>
      <x:left style="thin">
        <x:color rgb="FFC9D8EA"/>
      </x:left>
      <x:top style="thin">
        <x:color rgb="FFC9D8EA"/>
      </x:top>
    </x:border>
    <x:border>
      <x:right style="thin">
        <x:color rgb="FFC9D8EA"/>
      </x:right>
    </x:border>
    <x:border>
      <x:left style="thin">
        <x:color rgb="FFC9D8EA"/>
      </x:left>
      <x:right style="thin">
        <x:color rgb="FFC9D8EA"/>
      </x:right>
    </x:border>
    <x:border>
      <x:left style="thin">
        <x:color rgb="FFC9D8EA"/>
      </x:left>
    </x:border>
  </x:borders>
  <x:cellStyleXfs count="1">
    <x:xf numFmtId="0" fontId="0" fillId="0" borderId="0"/>
  </x:cellStyleXfs>
  <x:cellXfs count="10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3" xfId="0" applyNumberFormat="1" applyFont="1" applyFill="1" applyBorder="1"/>
    <x:xf numFmtId="0" fontId="4" fillId="3" borderId="3" xfId="0" applyNumberFormat="1" applyFont="1" applyFill="1" applyBorder="1" applyAlignment="1">
      <x:alignment vertical="center"/>
    </x:xf>
    <x:xf numFmtId="200" fontId="4" fillId="3" borderId="3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3" xfId="0" applyNumberFormat="1" applyFont="1" applyFill="1" applyBorder="1"/>
    <x:xf numFmtId="0" fontId="6" fillId="5" borderId="3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8" fillId="0" borderId="7" xfId="0" applyNumberFormat="1" applyFont="1" applyFill="1" applyBorder="1"/>
    <x:xf numFmtId="0" fontId="8" fillId="0" borderId="3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10" xfId="0" applyNumberFormat="1" applyFont="1" applyFill="1" applyBorder="1"/>
    <x:xf numFmtId="0" fontId="8" fillId="0" borderId="11" xfId="0" applyNumberFormat="1" applyFont="1" applyFill="1" applyBorder="1"/>
    <x:xf numFmtId="0" fontId="8" fillId="0" borderId="4" xfId="0" applyNumberFormat="1" applyFont="1" applyFill="1" applyBorder="1" applyAlignment="1">
      <x:alignment vertical="center"/>
    </x:xf>
    <x:xf numFmtId="0" fontId="8" fillId="0" borderId="5" xfId="0" applyNumberFormat="1" applyFont="1" applyFill="1" applyBorder="1" applyAlignment="1">
      <x:alignment vertical="center"/>
    </x:xf>
    <x:xf numFmtId="0" fontId="8" fillId="0" borderId="6" xfId="0" applyNumberFormat="1" applyFont="1" applyFill="1" applyBorder="1" applyAlignment="1">
      <x:alignment vertical="center"/>
    </x:xf>
    <x:xf numFmtId="0" fontId="8" fillId="0" borderId="7" xfId="0" applyNumberFormat="1" applyFont="1" applyFill="1" applyBorder="1" applyAlignment="1">
      <x:alignment vertical="center"/>
    </x:xf>
    <x:xf numFmtId="0" fontId="8" fillId="0" borderId="3" xfId="0" applyNumberFormat="1" applyFont="1" applyFill="1" applyBorder="1" applyAlignment="1">
      <x:alignment vertical="center"/>
    </x:xf>
    <x:xf numFmtId="0" fontId="8" fillId="0" borderId="8" xfId="0" applyNumberFormat="1" applyFont="1" applyFill="1" applyBorder="1" applyAlignment="1">
      <x:alignment vertical="center"/>
    </x:xf>
    <x:xf numFmtId="0" fontId="8" fillId="0" borderId="9" xfId="0" applyNumberFormat="1" applyFont="1" applyFill="1" applyBorder="1" applyAlignment="1">
      <x:alignment vertical="center"/>
    </x:xf>
    <x:xf numFmtId="0" fontId="8" fillId="0" borderId="10" xfId="0" applyNumberFormat="1" applyFont="1" applyFill="1" applyBorder="1" applyAlignment="1">
      <x:alignment vertical="center"/>
    </x:xf>
    <x:xf numFmtId="0" fontId="8" fillId="0" borderId="11" xfId="0" applyNumberFormat="1" applyFont="1" applyFill="1" applyBorder="1" applyAlignment="1">
      <x:alignment vertical="center"/>
    </x:xf>
    <x:xf numFmtId="201" fontId="8" fillId="0" borderId="5" xfId="0" applyNumberFormat="1" applyFont="1" applyFill="1" applyBorder="1" applyAlignment="1">
      <x:alignment vertical="center"/>
    </x:xf>
    <x:xf numFmtId="201" fontId="8" fillId="0" borderId="3" xfId="0" applyNumberFormat="1" applyFont="1" applyFill="1" applyBorder="1" applyAlignment="1">
      <x:alignment vertical="center"/>
    </x:xf>
    <x:xf numFmtId="201" fontId="8" fillId="0" borderId="10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/>
    <x:xf numFmtId="0" fontId="8" fillId="0" borderId="13" xfId="0" applyNumberFormat="1" applyFont="1" applyFill="1" applyBorder="1"/>
    <x:xf numFmtId="0" fontId="8" fillId="0" borderId="14" xfId="0" applyNumberFormat="1" applyFont="1" applyFill="1" applyBorder="1"/>
    <x:xf numFmtId="0" fontId="8" fillId="0" borderId="12" xfId="0" applyNumberFormat="1" applyFont="1" applyFill="1" applyBorder="1" applyAlignment="1">
      <x:alignment vertical="center"/>
    </x:xf>
    <x:xf numFmtId="0" fontId="8" fillId="0" borderId="13" xfId="0" applyNumberFormat="1" applyFont="1" applyFill="1" applyBorder="1" applyAlignment="1">
      <x:alignment vertical="center"/>
    </x:xf>
    <x:xf numFmtId="0" fontId="8" fillId="0" borderId="14" xfId="0" applyNumberFormat="1" applyFont="1" applyFill="1" applyBorder="1" applyAlignment="1">
      <x:alignment vertical="center"/>
    </x:xf>
    <x:xf numFmtId="200" fontId="8" fillId="0" borderId="5" xfId="0" applyNumberFormat="1" applyFont="1" applyFill="1" applyBorder="1" applyAlignment="1">
      <x:alignment vertical="center"/>
    </x:xf>
    <x:xf numFmtId="200" fontId="8" fillId="0" borderId="3" xfId="0" applyNumberFormat="1" applyFont="1" applyFill="1" applyBorder="1" applyAlignment="1">
      <x:alignment vertical="center"/>
    </x:xf>
    <x:xf numFmtId="200" fontId="8" fillId="0" borderId="10" xfId="0" applyNumberFormat="1" applyFont="1" applyFill="1" applyBorder="1" applyAlignment="1">
      <x:alignment vertical="center"/>
    </x:xf>
    <x:xf numFmtId="202" fontId="8" fillId="0" borderId="5" xfId="0" applyNumberFormat="1" applyFont="1" applyFill="1" applyBorder="1" applyAlignment="1">
      <x:alignment vertical="center"/>
    </x:xf>
    <x:xf numFmtId="202" fontId="8" fillId="0" borderId="3" xfId="0" applyNumberFormat="1" applyFont="1" applyFill="1" applyBorder="1" applyAlignment="1">
      <x:alignment vertical="center"/>
    </x:xf>
    <x:xf numFmtId="202" fontId="8" fillId="0" borderId="10" xfId="0" applyNumberFormat="1" applyFont="1" applyFill="1" applyBorder="1" applyAlignment="1">
      <x:alignment vertical="center"/>
    </x:xf>
    <x:xf numFmtId="201" fontId="8" fillId="0" borderId="4" xfId="0" applyNumberFormat="1" applyFont="1" applyFill="1" applyBorder="1" applyAlignment="1">
      <x:alignment vertical="center"/>
    </x:xf>
    <x:xf numFmtId="201" fontId="8" fillId="0" borderId="7" xfId="0" applyNumberFormat="1" applyFont="1" applyFill="1" applyBorder="1" applyAlignment="1">
      <x:alignment vertical="center"/>
    </x:xf>
    <x:xf numFmtId="201" fontId="8" fillId="0" borderId="9" xfId="0" applyNumberFormat="1" applyFont="1" applyFill="1" applyBorder="1" applyAlignment="1">
      <x:alignment vertical="center"/>
    </x:xf>
    <x:xf numFmtId="201" fontId="8" fillId="6" borderId="7" xfId="0" applyNumberFormat="1" applyFont="1" applyFill="1" applyBorder="1" applyAlignment="1">
      <x:alignment vertical="center"/>
    </x:xf>
    <x:xf numFmtId="0" fontId="8" fillId="6" borderId="3" xfId="0" applyNumberFormat="1" applyFont="1" applyFill="1" applyBorder="1" applyAlignment="1">
      <x:alignment vertical="center"/>
    </x:xf>
    <x:xf numFmtId="202" fontId="8" fillId="6" borderId="3" xfId="0" applyNumberFormat="1" applyFont="1" applyFill="1" applyBorder="1" applyAlignment="1">
      <x:alignment vertical="center"/>
    </x:xf>
    <x:xf numFmtId="200" fontId="8" fillId="6" borderId="3" xfId="0" applyNumberFormat="1" applyFont="1" applyFill="1" applyBorder="1" applyAlignment="1">
      <x:alignment vertical="center"/>
    </x:xf>
    <x:xf numFmtId="0" fontId="8" fillId="6" borderId="8" xfId="0" applyNumberFormat="1" applyFont="1" applyFill="1" applyBorder="1" applyAlignment="1">
      <x:alignment vertical="center"/>
    </x:xf>
    <x:xf numFmtId="201" fontId="8" fillId="6" borderId="9" xfId="0" applyNumberFormat="1" applyFont="1" applyFill="1" applyBorder="1" applyAlignment="1">
      <x:alignment vertical="center"/>
    </x:xf>
    <x:xf numFmtId="0" fontId="8" fillId="6" borderId="10" xfId="0" applyNumberFormat="1" applyFont="1" applyFill="1" applyBorder="1" applyAlignment="1">
      <x:alignment vertical="center"/>
    </x:xf>
    <x:xf numFmtId="202" fontId="8" fillId="6" borderId="10" xfId="0" applyNumberFormat="1" applyFont="1" applyFill="1" applyBorder="1" applyAlignment="1">
      <x:alignment vertical="center"/>
    </x:xf>
    <x:xf numFmtId="200" fontId="8" fillId="6" borderId="10" xfId="0" applyNumberFormat="1" applyFont="1" applyFill="1" applyBorder="1" applyAlignment="1">
      <x:alignment vertical="center"/>
    </x:xf>
    <x:xf numFmtId="0" fontId="8" fillId="6" borderId="11" xfId="0" applyNumberFormat="1" applyFont="1" applyFill="1" applyBorder="1" applyAlignment="1">
      <x:alignment vertical="center"/>
    </x:xf>
    <x:xf numFmtId="0" fontId="8" fillId="0" borderId="12" xfId="0" applyNumberFormat="1" applyFont="1" applyFill="1" applyBorder="1" applyAlignment="1">
      <x:alignment vertical="center" wrapText="1"/>
    </x:xf>
    <x:xf numFmtId="0" fontId="8" fillId="0" borderId="13" xfId="0" applyNumberFormat="1" applyFont="1" applyFill="1" applyBorder="1" applyAlignment="1">
      <x:alignment vertical="center" wrapText="1"/>
    </x:xf>
    <x:xf numFmtId="0" fontId="8" fillId="0" borderId="14" xfId="0" applyNumberFormat="1" applyFont="1" applyFill="1" applyBorder="1" applyAlignment="1">
      <x:alignment vertical="center" wrapText="1"/>
    </x:xf>
    <x:xf numFmtId="0" fontId="8" fillId="0" borderId="4" xfId="0" applyNumberFormat="1" applyFont="1" applyFill="1" applyBorder="1" applyAlignment="1">
      <x:alignment vertical="center" wrapText="1"/>
    </x:xf>
    <x:xf numFmtId="0" fontId="8" fillId="0" borderId="5" xfId="0" applyNumberFormat="1" applyFont="1" applyFill="1" applyBorder="1" applyAlignment="1">
      <x:alignment vertical="center" wrapText="1"/>
    </x:xf>
    <x:xf numFmtId="0" fontId="8" fillId="0" borderId="6" xfId="0" applyNumberFormat="1" applyFont="1" applyFill="1" applyBorder="1" applyAlignment="1">
      <x:alignment vertical="center" wrapText="1"/>
    </x:xf>
    <x:xf numFmtId="0" fontId="8" fillId="0" borderId="9" xfId="0" applyNumberFormat="1" applyFont="1" applyFill="1" applyBorder="1" applyAlignment="1">
      <x:alignment vertical="center" wrapText="1"/>
    </x:xf>
    <x:xf numFmtId="0" fontId="8" fillId="0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 wrapText="1"/>
    </x:xf>
    <x:xf numFmtId="0" fontId="8" fillId="0" borderId="7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 applyAlignment="1">
      <x:alignment vertical="center" wrapText="1"/>
    </x:xf>
    <x:xf numFmtId="0" fontId="8" fillId="0" borderId="8" xfId="0" applyNumberFormat="1" applyFont="1" applyFill="1" applyBorder="1" applyAlignment="1">
      <x:alignment vertical="center" wrapText="1"/>
    </x:xf>
    <x:xf numFmtId="200" fontId="8" fillId="0" borderId="5" xfId="0" applyNumberFormat="1" applyFont="1" applyFill="1" applyBorder="1" applyAlignment="1">
      <x:alignment vertical="center" wrapText="1"/>
    </x:xf>
    <x:xf numFmtId="202" fontId="8" fillId="0" borderId="5" xfId="0" applyNumberFormat="1" applyFont="1" applyFill="1" applyBorder="1" applyAlignment="1">
      <x:alignment vertical="center" wrapText="1"/>
    </x:xf>
    <x:xf numFmtId="200" fontId="8" fillId="0" borderId="3" xfId="0" applyNumberFormat="1" applyFont="1" applyFill="1" applyBorder="1" applyAlignment="1">
      <x:alignment vertical="center" wrapText="1"/>
    </x:xf>
    <x:xf numFmtId="202" fontId="8" fillId="0" borderId="3" xfId="0" applyNumberFormat="1" applyFont="1" applyFill="1" applyBorder="1" applyAlignment="1">
      <x:alignment vertical="center" wrapText="1"/>
    </x:xf>
    <x:xf numFmtId="200" fontId="8" fillId="0" borderId="10" xfId="0" applyNumberFormat="1" applyFont="1" applyFill="1" applyBorder="1" applyAlignment="1">
      <x:alignment vertical="center" wrapText="1"/>
    </x:xf>
    <x:xf numFmtId="202" fontId="8" fillId="0" borderId="10" xfId="0" applyNumberFormat="1" applyFont="1" applyFill="1" applyBorder="1" applyAlignment="1">
      <x:alignment vertical="center" wrapText="1"/>
    </x:xf>
    <x:xf numFmtId="201" fontId="8" fillId="0" borderId="4" xfId="0" applyNumberFormat="1" applyFont="1" applyFill="1" applyBorder="1" applyAlignment="1">
      <x:alignment vertical="center" wrapText="1"/>
    </x:xf>
    <x:xf numFmtId="201" fontId="8" fillId="0" borderId="7" xfId="0" applyNumberFormat="1" applyFont="1" applyFill="1" applyBorder="1" applyAlignment="1">
      <x:alignment vertical="center" wrapText="1"/>
    </x:xf>
    <x:xf numFmtId="201" fontId="8" fillId="6" borderId="7" xfId="0" applyNumberFormat="1" applyFont="1" applyFill="1" applyBorder="1" applyAlignment="1">
      <x:alignment vertical="center" wrapText="1"/>
    </x:xf>
    <x:xf numFmtId="0" fontId="8" fillId="6" borderId="3" xfId="0" applyNumberFormat="1" applyFont="1" applyFill="1" applyBorder="1" applyAlignment="1">
      <x:alignment vertical="center" wrapText="1"/>
    </x:xf>
    <x:xf numFmtId="202" fontId="8" fillId="6" borderId="3" xfId="0" applyNumberFormat="1" applyFont="1" applyFill="1" applyBorder="1" applyAlignment="1">
      <x:alignment vertical="center" wrapText="1"/>
    </x:xf>
    <x:xf numFmtId="200" fontId="8" fillId="6" borderId="3" xfId="0" applyNumberFormat="1" applyFont="1" applyFill="1" applyBorder="1" applyAlignment="1">
      <x:alignment vertical="center" wrapText="1"/>
    </x:xf>
    <x:xf numFmtId="0" fontId="8" fillId="6" borderId="8" xfId="0" applyNumberFormat="1" applyFont="1" applyFill="1" applyBorder="1" applyAlignment="1">
      <x:alignment vertical="center" wrapText="1"/>
    </x:xf>
    <x:xf numFmtId="201" fontId="8" fillId="6" borderId="9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 wrapText="1"/>
    </x:xf>
    <x:xf numFmtId="202" fontId="8" fillId="6" borderId="10" xfId="0" applyNumberFormat="1" applyFont="1" applyFill="1" applyBorder="1" applyAlignment="1">
      <x:alignment vertical="center" wrapText="1"/>
    </x:xf>
    <x:xf numFmtId="200" fontId="8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147A3D"/>
      </x:font>
      <x:fill>
        <x:patternFill patternType="solid">
          <x:bgColor rgb="FFE7F6ED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47A3D"/>
      </x:font>
      <x:fill>
        <x:patternFill patternType="solid">
          <x:bgColor rgb="FFE7F6ED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8aed0be05a46d1" /><Relationship Type="http://schemas.openxmlformats.org/officeDocument/2006/relationships/theme" Target="/xl/theme/theme1.xml" Id="R3bdf33c3e043484d" /><Relationship Type="http://schemas.openxmlformats.org/officeDocument/2006/relationships/sharedStrings" Target="/xl/sharedStrings.xml" Id="R1de39b93d38947c5" /><Relationship Type="http://schemas.openxmlformats.org/officeDocument/2006/relationships/worksheet" Target="/xl/worksheets/sheet1.xml" Id="R3525f214e56b4135" /><Relationship Type="http://schemas.openxmlformats.org/officeDocument/2006/relationships/worksheet" Target="/xl/worksheets/sheet2.xml" Id="R676e02e9f3b74e94" /><Relationship Type="http://schemas.openxmlformats.org/officeDocument/2006/relationships/worksheet" Target="/xl/worksheets/sheet3.xml" Id="R2e71d8287c1b4949" /><Relationship Type="http://schemas.openxmlformats.org/officeDocument/2006/relationships/worksheet" Target="/xl/worksheets/sheet4.xml" Id="R30c3224c17f84a3b" /><Relationship Type="http://schemas.openxmlformats.org/officeDocument/2006/relationships/worksheet" Target="/xl/worksheets/sheet5.xml" Id="Re0c5a35bf0394d30" /><Relationship Type="http://schemas.openxmlformats.org/officeDocument/2006/relationships/worksheet" Target="/xl/worksheets/sheet6.xml" Id="R6eeef09671ea4dc8" /><Relationship Type="http://schemas.openxmlformats.org/officeDocument/2006/relationships/worksheet" Target="/xl/worksheets/sheet7.xml" Id="Reea160c7746c4480" /><Relationship Type="http://schemas.openxmlformats.org/officeDocument/2006/relationships/worksheet" Target="/xl/worksheets/sheet8.xml" Id="R4861bbc0b11940b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D2948"/>
  </x:sheetPr>
  <x:sheetViews>
    <x:sheetView showGridLines="0" workbookViewId="0"/>
  </x:sheetViews>
  <x:sheetFormatPr defaultRowHeight="15"/>
  <x:cols>
    <x:col min="1" max="1" width="24" hidden="0" customWidth="1"/>
    <x:col min="2" max="2" width="13" hidden="0" customWidth="1"/>
    <x:col min="3" max="3" width="24" hidden="0" customWidth="1"/>
    <x:col min="4" max="4" width="13" hidden="0" customWidth="1"/>
    <x:col min="5" max="5" width="24" hidden="0" customWidth="1"/>
    <x:col min="6" max="6" width="13" hidden="0" customWidth="1"/>
    <x:col min="7" max="7" width="24" hidden="0" customWidth="1"/>
    <x:col min="8" max="8" width="16" hidden="0" customWidth="1"/>
  </x:cols>
  <x:sheetData>
    <x:row r="1">
      <x:c r="H1"/>
    </x:row>
    <x:row r="2">
      <x:c r="A2" s="1" t="str">
        <x:v>Modelo de teste completo VORQIX</x:v>
      </x:c>
    </x:row>
    <x:row r="3">
      <x:c r="A3" s="2" t="str">
        <x:v>Dados sintéticos para validar o fluxo de manutenção sem utilizar cadastro real.</x:v>
      </x:c>
    </x:row>
    <x:row r="4">
      <x:c r="A4" s="3"/>
      <x:c r="B4" s="3"/>
      <x:c r="C4" s="3"/>
      <x:c r="D4" s="3"/>
      <x:c r="E4" s="3"/>
      <x:c r="F4" s="3"/>
      <x:c r="G4" s="3"/>
      <x:c r="H4" s="3"/>
    </x:row>
    <x:row r="6" ht="24" customHeight="1">
      <x:c r="A6" s="9" t="str">
        <x:v>Objetivo</x:v>
      </x:c>
      <x:c r="B6" s="9" t="str">
        <x:v>Valor</x:v>
      </x:c>
      <x:c r="C6" s="9" t="str">
        <x:v>Objetivo</x:v>
      </x:c>
      <x:c r="D6" s="9" t="str">
        <x:v>Valor</x:v>
      </x:c>
      <x:c r="E6" s="9" t="str">
        <x:v>Objetivo</x:v>
      </x:c>
      <x:c r="F6" s="9" t="str">
        <x:v>Valor</x:v>
      </x:c>
      <x:c r="G6" s="9" t="str">
        <x:v>Objetivo</x:v>
      </x:c>
      <x:c r="H6" s="9" t="str">
        <x:v>Valor</x:v>
      </x:c>
    </x:row>
    <x:row r="7" ht="24" customHeight="1">
      <x:c r="A7" s="13" t="str">
        <x:v>Equipamentos</x:v>
      </x:c>
      <x:c r="B7" s="13" t="n">
        <x:f>COUNTA(Equipamentos!A6:A7)</x:f>
        <x:v>2</x:v>
      </x:c>
      <x:c r="C7" s="13" t="str">
        <x:v>Componentes</x:v>
      </x:c>
      <x:c r="D7" s="13" t="n">
        <x:f>COUNTA(Componentes!A6:A15)</x:f>
        <x:v>10</x:v>
      </x:c>
      <x:c r="E7" s="13" t="str">
        <x:v>Materiais</x:v>
      </x:c>
      <x:c r="F7" s="13" t="n">
        <x:f>COUNTA(Materiais!A6:A15)</x:f>
        <x:v>10</x:v>
      </x:c>
      <x:c r="G7" s="13" t="str">
        <x:v>Custo de saídas</x:v>
      </x:c>
      <x:c r="H7" s="14" t="n">
        <x:f>SUM(Movimentos!G6:G20)</x:f>
        <x:v>514</x:v>
      </x:c>
    </x:row>
    <x:row r="8" ht="24" customHeight="1"/>
    <x:row r="9" ht="24" customHeight="1"/>
    <x:row r="10" ht="24" customHeight="1">
      <x:c r="A10" s="16" t="str">
        <x:v>Como usar</x:v>
      </x:c>
      <x:c r="B10"/>
      <x:c r="C10"/>
      <x:c r="D10"/>
      <x:c r="E10"/>
      <x:c r="F10"/>
      <x:c r="G10"/>
      <x:c r="H10"/>
    </x:row>
    <x:row r="11" ht="24" customHeight="1">
      <x:c r="A11" s="21" t="str">
        <x:v>1. Importe Estrutura, Equipamentos, Componentes e Materiais no catálogo VORQIX.</x:v>
      </x:c>
      <x:c r="B11" s="21"/>
      <x:c r="C11" s="21"/>
      <x:c r="D11" s="21"/>
      <x:c r="E11" s="21"/>
      <x:c r="F11" s="21"/>
      <x:c r="G11" s="21"/>
      <x:c r="H11" s="21"/>
    </x:row>
    <x:row r="12" ht="24" customHeight="1">
      <x:c r="A12" s="21" t="str">
        <x:v>2. Cadastre uma ocorrência usando a OS crítica de teste e envie ao PCM.</x:v>
      </x:c>
      <x:c r="B12" s="21"/>
      <x:c r="C12" s="21"/>
      <x:c r="D12" s="21"/>
      <x:c r="E12" s="21"/>
      <x:c r="F12" s="21"/>
      <x:c r="G12" s="21"/>
      <x:c r="H12" s="21"/>
    </x:row>
    <x:row r="13" ht="24" customHeight="1">
      <x:c r="A13" s="21" t="str">
        <x:v>3. No PCM, libere a OS e deixe o técnico iniciar a execução.</x:v>
      </x:c>
      <x:c r="B13" s="21"/>
      <x:c r="C13" s="21"/>
      <x:c r="D13" s="21"/>
      <x:c r="E13" s="21"/>
      <x:c r="F13" s="21"/>
      <x:c r="G13" s="21"/>
      <x:c r="H13" s="21"/>
    </x:row>
    <x:row r="14" ht="24" customHeight="1">
      <x:c r="A14" s="21" t="str">
        <x:v>4. Registre no painel do técnico a baixa dos materiais indicados na OS.</x:v>
      </x:c>
      <x:c r="B14" s="21"/>
      <x:c r="C14" s="21"/>
      <x:c r="D14" s="21"/>
      <x:c r="E14" s="21"/>
      <x:c r="F14" s="21"/>
      <x:c r="G14" s="21"/>
      <x:c r="H14" s="21"/>
    </x:row>
    <x:row r="15" ht="24" customHeight="1">
      <x:c r="A15" s="21" t="str">
        <x:v>5. Conclua, valide a OS e confira o custo e o histórico do equipamento.</x:v>
      </x:c>
      <x:c r="B15" s="21"/>
      <x:c r="C15" s="21"/>
      <x:c r="D15" s="21"/>
      <x:c r="E15" s="21"/>
      <x:c r="F15" s="21"/>
      <x:c r="G15" s="21"/>
      <x:c r="H15" s="21"/>
    </x:row>
    <x:row r="16" ht="24" customHeight="1">
      <x:c r="A16" s="21" t="str">
        <x:v>6. Use o roteiro de teste para marcar cada validação como APROVADO ou FALHOU.</x:v>
      </x:c>
      <x:c r="B16" s="21"/>
      <x:c r="C16" s="21"/>
      <x:c r="D16" s="21"/>
      <x:c r="E16" s="21"/>
      <x:c r="F16" s="21"/>
      <x:c r="G16" s="21"/>
      <x:c r="H16" s="21"/>
    </x:row>
    <x:row r="17" ht="24" customHeight="1"/>
    <x:row r="18" ht="24" customHeight="1">
      <x:c r="A18" s="23" t="str">
        <x:v>Importante: todos os códigos, valores e nomes desta planilha são fictícios e destinados apenas a testes.</x:v>
      </x:c>
      <x:c r="B18"/>
      <x:c r="C18"/>
      <x:c r="D18"/>
      <x:c r="E18"/>
      <x:c r="F18"/>
      <x:c r="G18"/>
      <x:c r="H18"/>
    </x:row>
  </x:sheetData>
  <x:mergeCells>
    <x:mergeCell ref="A10:H10"/>
    <x:mergeCell ref="A11:H11"/>
    <x:mergeCell ref="A12:H12"/>
    <x:mergeCell ref="A13:H13"/>
    <x:mergeCell ref="A14:H14"/>
    <x:mergeCell ref="A15:H15"/>
    <x:mergeCell ref="A16:H16"/>
    <x:mergeCell ref="A18:H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B7EA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28" hidden="0" customWidth="1"/>
    <x:col min="3" max="3" width="50" hidden="0" customWidth="1"/>
    <x:col min="4" max="4" width="14" hidden="0" customWidth="1"/>
    <x:col min="5" max="5" width="15" hidden="0" customWidth="1"/>
    <x:col min="6" max="6" width="22" hidden="0" customWidth="1"/>
    <x:col min="7" max="7" width="36" hidden="0" customWidth="1"/>
  </x:cols>
  <x:sheetData>
    <x:row r="1">
      <x:c r="G1"/>
    </x:row>
    <x:row r="2">
      <x:c r="A2" s="1" t="str">
        <x:v>Roteiro de teste operacional</x:v>
      </x:c>
    </x:row>
    <x:row r="3">
      <x:c r="A3" s="2" t="str">
        <x:v>Use este roteiro depois de importar os dados e executar o fluxo completo.</x:v>
      </x:c>
    </x:row>
    <x:row r="4">
      <x:c r="A4" s="3"/>
      <x:c r="B4" s="3"/>
      <x:c r="C4" s="3"/>
      <x:c r="D4" s="3"/>
      <x:c r="E4" s="3"/>
      <x:c r="F4" s="3"/>
      <x:c r="G4" s="3"/>
    </x:row>
    <x:row r="5" ht="25" customHeight="1">
      <x:c r="A5" s="9" t="str">
        <x:v>Etapa</x:v>
      </x:c>
      <x:c r="B5" s="9" t="str">
        <x:v>Ação de teste</x:v>
      </x:c>
      <x:c r="C5" s="9" t="str">
        <x:v>Resultado esperado</x:v>
      </x:c>
      <x:c r="D5" s="9" t="str">
        <x:v>Status</x:v>
      </x:c>
      <x:c r="E5" s="9" t="str">
        <x:v>Data do teste</x:v>
      </x:c>
      <x:c r="F5" s="9" t="str">
        <x:v>Responsável</x:v>
      </x:c>
      <x:c r="G5" s="9" t="str">
        <x:v>Observação</x:v>
      </x:c>
    </x:row>
    <x:row r="6" ht="25" customHeight="1">
      <x:c r="A6" s="34" t="str">
        <x:v>1</x:v>
      </x:c>
      <x:c r="B6" s="35" t="str">
        <x:v>Importar estrutura</x:v>
      </x:c>
      <x:c r="C6" s="35" t="str">
        <x:v>Planta, setor e linha aparecem no catálogo.</x:v>
      </x:c>
      <x:c r="D6" s="35" t="str">
        <x:v>PENDENTE</x:v>
      </x:c>
      <x:c r="E6" s="43"/>
      <x:c r="F6" s="35"/>
      <x:c r="G6" s="36"/>
    </x:row>
    <x:row r="7" ht="25" customHeight="1">
      <x:c r="A7" s="37" t="str">
        <x:v>2</x:v>
      </x:c>
      <x:c r="B7" s="38" t="str">
        <x:v>Importar equipamentos</x:v>
      </x:c>
      <x:c r="C7" s="38" t="str">
        <x:v>E101 e E102 ficam disponíveis para seleção.</x:v>
      </x:c>
      <x:c r="D7" s="38" t="str">
        <x:v>PENDENTE</x:v>
      </x:c>
      <x:c r="E7" s="44"/>
      <x:c r="F7" s="38"/>
      <x:c r="G7" s="39"/>
    </x:row>
    <x:row r="8" ht="25" customHeight="1">
      <x:c r="A8" s="37" t="str">
        <x:v>3</x:v>
      </x:c>
      <x:c r="B8" s="38" t="str">
        <x:v>Importar materiais</x:v>
      </x:c>
      <x:c r="C8" s="38" t="str">
        <x:v>SKUs, custo e estoque inicial aparecem corretos.</x:v>
      </x:c>
      <x:c r="D8" s="38" t="str">
        <x:v>PENDENTE</x:v>
      </x:c>
      <x:c r="E8" s="44"/>
      <x:c r="F8" s="38"/>
      <x:c r="G8" s="39"/>
    </x:row>
    <x:row r="9" ht="25" customHeight="1">
      <x:c r="A9" s="37" t="str">
        <x:v>4</x:v>
      </x:c>
      <x:c r="B9" s="38" t="str">
        <x:v>Abrir ocorrência crítica</x:v>
      </x:c>
      <x:c r="C9" s="38" t="str">
        <x:v>Ocorrência chega ao PCM como crítica.</x:v>
      </x:c>
      <x:c r="D9" s="38" t="str">
        <x:v>PENDENTE</x:v>
      </x:c>
      <x:c r="E9" s="44"/>
      <x:c r="F9" s="38"/>
      <x:c r="G9" s="39"/>
    </x:row>
    <x:row r="10" ht="25" customHeight="1">
      <x:c r="A10" s="37" t="str">
        <x:v>5</x:v>
      </x:c>
      <x:c r="B10" s="38" t="str">
        <x:v>Liberar OS no PCM</x:v>
      </x:c>
      <x:c r="C10" s="38" t="str">
        <x:v>OS fica pronta para execução.</x:v>
      </x:c>
      <x:c r="D10" s="38" t="str">
        <x:v>PENDENTE</x:v>
      </x:c>
      <x:c r="E10" s="44"/>
      <x:c r="F10" s="38"/>
      <x:c r="G10" s="39"/>
    </x:row>
    <x:row r="11" ht="25" customHeight="1">
      <x:c r="A11" s="37" t="str">
        <x:v>6</x:v>
      </x:c>
      <x:c r="B11" s="38" t="str">
        <x:v>Iniciar execução técnica</x:v>
      </x:c>
      <x:c r="C11" s="38" t="str">
        <x:v>Técnico responsável é registrado ao iniciar.</x:v>
      </x:c>
      <x:c r="D11" s="38" t="str">
        <x:v>PENDENTE</x:v>
      </x:c>
      <x:c r="E11" s="44"/>
      <x:c r="F11" s="38"/>
      <x:c r="G11" s="39"/>
    </x:row>
    <x:row r="12" ht="25" customHeight="1">
      <x:c r="A12" s="37" t="str">
        <x:v>7</x:v>
      </x:c>
      <x:c r="B12" s="38" t="str">
        <x:v>Baixar rolamento</x:v>
      </x:c>
      <x:c r="C12" s="38" t="str">
        <x:v>Estoque reduz e custo é vinculado à OS.</x:v>
      </x:c>
      <x:c r="D12" s="38" t="str">
        <x:v>PENDENTE</x:v>
      </x:c>
      <x:c r="E12" s="44"/>
      <x:c r="F12" s="38"/>
      <x:c r="G12" s="39"/>
    </x:row>
    <x:row r="13" ht="25" customHeight="1">
      <x:c r="A13" s="37" t="str">
        <x:v>8</x:v>
      </x:c>
      <x:c r="B13" s="38" t="str">
        <x:v>Baixar correia</x:v>
      </x:c>
      <x:c r="C13" s="38" t="str">
        <x:v>Histórico mostra SKU, quantidade e valor.</x:v>
      </x:c>
      <x:c r="D13" s="38" t="str">
        <x:v>PENDENTE</x:v>
      </x:c>
      <x:c r="E13" s="44"/>
      <x:c r="F13" s="38"/>
      <x:c r="G13" s="39"/>
    </x:row>
    <x:row r="14" ht="25" customHeight="1">
      <x:c r="A14" s="37" t="str">
        <x:v>9</x:v>
      </x:c>
      <x:c r="B14" s="38" t="str">
        <x:v>Concluir OS</x:v>
      </x:c>
      <x:c r="C14" s="38" t="str">
        <x:v>OS muda para concluída sem travar a execução.</x:v>
      </x:c>
      <x:c r="D14" s="38" t="str">
        <x:v>PENDENTE</x:v>
      </x:c>
      <x:c r="E14" s="44"/>
      <x:c r="F14" s="38"/>
      <x:c r="G14" s="39"/>
    </x:row>
    <x:row r="15" ht="25" customHeight="1">
      <x:c r="A15" s="37" t="str">
        <x:v>10</x:v>
      </x:c>
      <x:c r="B15" s="38" t="str">
        <x:v>Validar qualidade ou segurança</x:v>
      </x:c>
      <x:c r="C15" s="38" t="str">
        <x:v>Validação confirma a execução sem impedir a conclusão.</x:v>
      </x:c>
      <x:c r="D15" s="38" t="str">
        <x:v>PENDENTE</x:v>
      </x:c>
      <x:c r="E15" s="44"/>
      <x:c r="F15" s="38"/>
      <x:c r="G15" s="39"/>
    </x:row>
    <x:row r="16" ht="25" customHeight="1">
      <x:c r="A16" s="37" t="str">
        <x:v>11</x:v>
      </x:c>
      <x:c r="B16" s="38" t="str">
        <x:v>Consultar histórico do ativo</x:v>
      </x:c>
      <x:c r="C16" s="38" t="str">
        <x:v>Movimentos e custo da OS aparecem no E101.</x:v>
      </x:c>
      <x:c r="D16" s="38" t="str">
        <x:v>PENDENTE</x:v>
      </x:c>
      <x:c r="E16" s="44"/>
      <x:c r="F16" s="38"/>
      <x:c r="G16" s="39"/>
    </x:row>
    <x:row r="17" ht="25" customHeight="1">
      <x:c r="A17" s="40" t="str">
        <x:v>12</x:v>
      </x:c>
      <x:c r="B17" s="41" t="str">
        <x:v>Conferir estoque mínimo</x:v>
      </x:c>
      <x:c r="C17" s="41" t="str">
        <x:v>Material abaixo do mínimo fica identificado para reposição.</x:v>
      </x:c>
      <x:c r="D17" s="41" t="str">
        <x:v>PENDENTE</x:v>
      </x:c>
      <x:c r="E17" s="45"/>
      <x:c r="F17" s="41"/>
      <x:c r="G17" s="42"/>
    </x:row>
  </x:sheetData>
  <x:conditionalFormatting sqref="D6:D17">
    <x:cfRule type="containsText" dxfId="0" priority="1" operator="containsText" text="APROVADO"/>
    <x:cfRule type="containsText" dxfId="1" priority="2" operator="containsText" text="FALHOU"/>
  </x:conditionalFormatting>
  <x:dataValidations count="1">
    <x:dataValidation type="list" sqref="D6:D17">
      <x:formula1>"PENDENTE,APROVADO,FALHOU"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F9BB9"/>
  </x:sheetPr>
  <x:sheetViews>
    <x:sheetView showGridLines="0" workbookViewId="0"/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2" hidden="0" customWidth="1"/>
    <x:col min="5" max="5" width="16" hidden="0" customWidth="1"/>
    <x:col min="6" max="6" width="28" hidden="0" customWidth="1"/>
  </x:cols>
  <x:sheetData>
    <x:row r="1">
      <x:c r="F1"/>
    </x:row>
    <x:row r="2">
      <x:c r="A2" s="1" t="str">
        <x:v>Estrutura industrial</x:v>
      </x:c>
    </x:row>
    <x:row r="3">
      <x:c r="A3" s="2" t="str">
        <x:v>Cadastros sintéticos para uma linha de envase de teste.</x:v>
      </x:c>
    </x:row>
    <x:row r="4">
      <x:c r="A4" s="3"/>
      <x:c r="B4" s="3"/>
      <x:c r="C4" s="3"/>
      <x:c r="D4" s="3"/>
      <x:c r="E4" s="3"/>
      <x:c r="F4" s="3"/>
    </x:row>
    <x:row r="5" ht="25" customHeight="1">
      <x:c r="A5" s="9" t="str">
        <x:v>ID Planta</x:v>
      </x:c>
      <x:c r="B5" s="9" t="str">
        <x:v>Planta</x:v>
      </x:c>
      <x:c r="C5" s="9" t="str">
        <x:v>ID Setor</x:v>
      </x:c>
      <x:c r="D5" s="9" t="str">
        <x:v>Setor</x:v>
      </x:c>
      <x:c r="E5" s="9" t="str">
        <x:v>ID Linha</x:v>
      </x:c>
      <x:c r="F5" s="9" t="str">
        <x:v>Linha</x:v>
      </x:c>
    </x:row>
    <x:row r="6" ht="25" customHeight="1">
      <x:c r="A6" s="71" t="str">
        <x:v>PLT-TESTE</x:v>
      </x:c>
      <x:c r="B6" s="72" t="str">
        <x:v>Planta Teste VORQIX</x:v>
      </x:c>
      <x:c r="C6" s="72" t="str">
        <x:v>SET-ENV-01</x:v>
      </x:c>
      <x:c r="D6" s="72" t="str">
        <x:v>Envase</x:v>
      </x:c>
      <x:c r="E6" s="72" t="str">
        <x:v>LIN-ENV-01</x:v>
      </x:c>
      <x:c r="F6" s="73" t="str">
        <x:v>Linha de Envase 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F9B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2" hidden="0" customWidth="1"/>
    <x:col min="3" max="3" width="30" hidden="0" customWidth="1"/>
    <x:col min="4" max="4" width="26" hidden="0" customWidth="1"/>
    <x:col min="5" max="5" width="16" hidden="0" customWidth="1"/>
    <x:col min="6" max="6" width="23" hidden="0" customWidth="1"/>
    <x:col min="7" max="7" width="14" hidden="0" customWidth="1"/>
    <x:col min="8" max="8" width="12" hidden="0" customWidth="1"/>
    <x:col min="9" max="9" width="20" hidden="0" customWidth="1"/>
    <x:col min="10" max="10" width="15" hidden="0" customWidth="1"/>
  </x:cols>
  <x:sheetData>
    <x:row r="1">
      <x:c r="J1"/>
    </x:row>
    <x:row r="2">
      <x:c r="A2" s="1" t="str">
        <x:v>Equipamentos de teste</x:v>
      </x:c>
    </x:row>
    <x:row r="3">
      <x:c r="A3" s="2" t="str">
        <x:v>Dois equipamentos fictícios para validar ocorrência, OS, execução e histórico.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</x:row>
    <x:row r="5" ht="25" customHeight="1">
      <x:c r="A5" s="9" t="str">
        <x:v>ID Equipamento</x:v>
      </x:c>
      <x:c r="B5" s="9" t="str">
        <x:v>TAG</x:v>
      </x:c>
      <x:c r="C5" s="9" t="str">
        <x:v>Nome</x:v>
      </x:c>
      <x:c r="D5" s="9" t="str">
        <x:v>Planta</x:v>
      </x:c>
      <x:c r="E5" s="9" t="str">
        <x:v>Setor</x:v>
      </x:c>
      <x:c r="F5" s="9" t="str">
        <x:v>Linha</x:v>
      </x:c>
      <x:c r="G5" s="9" t="str">
        <x:v>Criticidade</x:v>
      </x:c>
      <x:c r="H5" s="9" t="str">
        <x:v>Status</x:v>
      </x:c>
      <x:c r="I5" s="9" t="str">
        <x:v>Fabricante</x:v>
      </x:c>
      <x:c r="J5" s="9" t="str">
        <x:v>Modelo</x:v>
      </x:c>
    </x:row>
    <x:row r="6" ht="25" customHeight="1">
      <x:c r="A6" s="74" t="str">
        <x:v>EQ-ENV-001</x:v>
      </x:c>
      <x:c r="B6" s="75" t="str">
        <x:v>E101</x:v>
      </x:c>
      <x:c r="C6" s="75" t="str">
        <x:v>Esteira transportadora</x:v>
      </x:c>
      <x:c r="D6" s="75" t="str">
        <x:v>Planta Teste VORQIX</x:v>
      </x:c>
      <x:c r="E6" s="75" t="str">
        <x:v>Envase</x:v>
      </x:c>
      <x:c r="F6" s="75" t="str">
        <x:v>Linha de Envase 01</x:v>
      </x:c>
      <x:c r="G6" s="75" t="str">
        <x:v>ALTA</x:v>
      </x:c>
      <x:c r="H6" s="75" t="str">
        <x:v>ATIVO</x:v>
      </x:c>
      <x:c r="I6" s="75" t="str">
        <x:v>VORQIX Demo</x:v>
      </x:c>
      <x:c r="J6" s="76" t="str">
        <x:v>ET-400</x:v>
      </x:c>
    </x:row>
    <x:row r="7" ht="25" customHeight="1">
      <x:c r="A7" s="77" t="str">
        <x:v>EQ-ENV-002</x:v>
      </x:c>
      <x:c r="B7" s="78" t="str">
        <x:v>E102</x:v>
      </x:c>
      <x:c r="C7" s="78" t="str">
        <x:v>Envasadora rotativa</x:v>
      </x:c>
      <x:c r="D7" s="78" t="str">
        <x:v>Planta Teste VORQIX</x:v>
      </x:c>
      <x:c r="E7" s="78" t="str">
        <x:v>Envase</x:v>
      </x:c>
      <x:c r="F7" s="78" t="str">
        <x:v>Linha de Envase 01</x:v>
      </x:c>
      <x:c r="G7" s="78" t="str">
        <x:v>CRITICA</x:v>
      </x:c>
      <x:c r="H7" s="78" t="str">
        <x:v>ATIVO</x:v>
      </x:c>
      <x:c r="I7" s="78" t="str">
        <x:v>VORQIX Demo</x:v>
      </x:c>
      <x:c r="J7" s="79" t="str">
        <x:v>ER-800</x:v>
      </x:c>
    </x:row>
  </x:sheetData>
  <x:conditionalFormatting sqref="G6:G7">
    <x:cfRule type="containsText" dxfId="2" priority="1" operator="containsText" text="CRITICA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F9B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16" hidden="0" customWidth="1"/>
    <x:col min="4" max="4" width="30" hidden="0" customWidth="1"/>
    <x:col min="5" max="5" width="18" hidden="0" customWidth="1"/>
    <x:col min="6" max="6" width="14" hidden="0" customWidth="1"/>
    <x:col min="7" max="7" width="28" hidden="0" customWidth="1"/>
  </x:cols>
  <x:sheetData>
    <x:row r="1">
      <x:c r="G1"/>
    </x:row>
    <x:row r="2">
      <x:c r="A2" s="1" t="str">
        <x:v>Componentes de teste</x:v>
      </x:c>
    </x:row>
    <x:row r="3">
      <x:c r="A3" s="2" t="str">
        <x:v>Componentes cadastrados para os dois ativos fictícios.</x:v>
      </x:c>
    </x:row>
    <x:row r="4">
      <x:c r="A4" s="3"/>
      <x:c r="B4" s="3"/>
      <x:c r="C4" s="3"/>
      <x:c r="D4" s="3"/>
      <x:c r="E4" s="3"/>
      <x:c r="F4" s="3"/>
      <x:c r="G4" s="3"/>
    </x:row>
    <x:row r="5" ht="24" customHeight="1">
      <x:c r="A5" s="9" t="str">
        <x:v>ID Componente</x:v>
      </x:c>
      <x:c r="B5" s="9" t="str">
        <x:v>ID Equipamento</x:v>
      </x:c>
      <x:c r="C5" s="9" t="str">
        <x:v>TAG Equipamento</x:v>
      </x:c>
      <x:c r="D5" s="9" t="str">
        <x:v>Componente</x:v>
      </x:c>
      <x:c r="E5" s="9" t="str">
        <x:v>Tipo</x:v>
      </x:c>
      <x:c r="F5" s="9" t="str">
        <x:v>Criticidade</x:v>
      </x:c>
      <x:c r="G5" s="9" t="str">
        <x:v>Observação</x:v>
      </x:c>
    </x:row>
    <x:row r="6" ht="24" customHeight="1">
      <x:c r="A6" s="74" t="str">
        <x:v>CMP-E101-01</x:v>
      </x:c>
      <x:c r="B6" s="75" t="str">
        <x:v>EQ-ENV-001</x:v>
      </x:c>
      <x:c r="C6" s="75" t="str">
        <x:v>E101</x:v>
      </x:c>
      <x:c r="D6" s="75" t="str">
        <x:v>Motor de acionamento</x:v>
      </x:c>
      <x:c r="E6" s="75" t="str">
        <x:v>MOTOR</x:v>
      </x:c>
      <x:c r="F6" s="75" t="str">
        <x:v>ALTA</x:v>
      </x:c>
      <x:c r="G6" s="76" t="str">
        <x:v>Motorredutor principal</x:v>
      </x:c>
    </x:row>
    <x:row r="7" ht="24" customHeight="1">
      <x:c r="A7" s="80" t="str">
        <x:v>CMP-E101-02</x:v>
      </x:c>
      <x:c r="B7" s="81" t="str">
        <x:v>EQ-ENV-001</x:v>
      </x:c>
      <x:c r="C7" s="81" t="str">
        <x:v>E101</x:v>
      </x:c>
      <x:c r="D7" s="81" t="str">
        <x:v>Rolamento motriz</x:v>
      </x:c>
      <x:c r="E7" s="81" t="str">
        <x:v>ROLAMENTO</x:v>
      </x:c>
      <x:c r="F7" s="81" t="str">
        <x:v>ALTA</x:v>
      </x:c>
      <x:c r="G7" s="82" t="str">
        <x:v>Aplicação 6204 2RS</x:v>
      </x:c>
    </x:row>
    <x:row r="8" ht="24" customHeight="1">
      <x:c r="A8" s="80" t="str">
        <x:v>CMP-E101-03</x:v>
      </x:c>
      <x:c r="B8" s="81" t="str">
        <x:v>EQ-ENV-001</x:v>
      </x:c>
      <x:c r="C8" s="81" t="str">
        <x:v>E101</x:v>
      </x:c>
      <x:c r="D8" s="81" t="str">
        <x:v>Correia transportadora</x:v>
      </x:c>
      <x:c r="E8" s="81" t="str">
        <x:v>CORREIA</x:v>
      </x:c>
      <x:c r="F8" s="81" t="str">
        <x:v>ALTA</x:v>
      </x:c>
      <x:c r="G8" s="82" t="str">
        <x:v>Correia em PVC 500 mm</x:v>
      </x:c>
    </x:row>
    <x:row r="9" ht="24" customHeight="1">
      <x:c r="A9" s="80" t="str">
        <x:v>CMP-E101-04</x:v>
      </x:c>
      <x:c r="B9" s="81" t="str">
        <x:v>EQ-ENV-001</x:v>
      </x:c>
      <x:c r="C9" s="81" t="str">
        <x:v>E101</x:v>
      </x:c>
      <x:c r="D9" s="81" t="str">
        <x:v>Sensor fotoelétrico</x:v>
      </x:c>
      <x:c r="E9" s="81" t="str">
        <x:v>SENSOR</x:v>
      </x:c>
      <x:c r="F9" s="81" t="str">
        <x:v>MEDIA</x:v>
      </x:c>
      <x:c r="G9" s="82" t="str">
        <x:v>Sensor de presença</x:v>
      </x:c>
    </x:row>
    <x:row r="10" ht="24" customHeight="1">
      <x:c r="A10" s="80" t="str">
        <x:v>CMP-E101-05</x:v>
      </x:c>
      <x:c r="B10" s="81" t="str">
        <x:v>EQ-ENV-001</x:v>
      </x:c>
      <x:c r="C10" s="81" t="str">
        <x:v>E101</x:v>
      </x:c>
      <x:c r="D10" s="81" t="str">
        <x:v>Rolo guia</x:v>
      </x:c>
      <x:c r="E10" s="81" t="str">
        <x:v>MECANICO</x:v>
      </x:c>
      <x:c r="F10" s="81" t="str">
        <x:v>MEDIA</x:v>
      </x:c>
      <x:c r="G10" s="82" t="str">
        <x:v>Rolo livre</x:v>
      </x:c>
    </x:row>
    <x:row r="11" ht="24" customHeight="1">
      <x:c r="A11" s="80" t="str">
        <x:v>CMP-E102-01</x:v>
      </x:c>
      <x:c r="B11" s="81" t="str">
        <x:v>EQ-ENV-002</x:v>
      </x:c>
      <x:c r="C11" s="81" t="str">
        <x:v>E102</x:v>
      </x:c>
      <x:c r="D11" s="81" t="str">
        <x:v>Motor do carrossel</x:v>
      </x:c>
      <x:c r="E11" s="81" t="str">
        <x:v>MOTOR</x:v>
      </x:c>
      <x:c r="F11" s="81" t="str">
        <x:v>CRITICA</x:v>
      </x:c>
      <x:c r="G11" s="82" t="str">
        <x:v>Acionamento principal</x:v>
      </x:c>
    </x:row>
    <x:row r="12" ht="24" customHeight="1">
      <x:c r="A12" s="80" t="str">
        <x:v>CMP-E102-02</x:v>
      </x:c>
      <x:c r="B12" s="81" t="str">
        <x:v>EQ-ENV-002</x:v>
      </x:c>
      <x:c r="C12" s="81" t="str">
        <x:v>E102</x:v>
      </x:c>
      <x:c r="D12" s="81" t="str">
        <x:v>Válvula de envase</x:v>
      </x:c>
      <x:c r="E12" s="81" t="str">
        <x:v>VALVULA</x:v>
      </x:c>
      <x:c r="F12" s="81" t="str">
        <x:v>CRITICA</x:v>
      </x:c>
      <x:c r="G12" s="82" t="str">
        <x:v>Válvula pneumática</x:v>
      </x:c>
    </x:row>
    <x:row r="13" ht="24" customHeight="1">
      <x:c r="A13" s="80" t="str">
        <x:v>CMP-E102-03</x:v>
      </x:c>
      <x:c r="B13" s="81" t="str">
        <x:v>EQ-ENV-002</x:v>
      </x:c>
      <x:c r="C13" s="81" t="str">
        <x:v>E102</x:v>
      </x:c>
      <x:c r="D13" s="81" t="str">
        <x:v>Rolamento do carrossel</x:v>
      </x:c>
      <x:c r="E13" s="81" t="str">
        <x:v>ROLAMENTO</x:v>
      </x:c>
      <x:c r="F13" s="81" t="str">
        <x:v>ALTA</x:v>
      </x:c>
      <x:c r="G13" s="82" t="str">
        <x:v>Aplicação 6206 2RS</x:v>
      </x:c>
    </x:row>
    <x:row r="14" ht="24" customHeight="1">
      <x:c r="A14" s="80" t="str">
        <x:v>CMP-E102-04</x:v>
      </x:c>
      <x:c r="B14" s="81" t="str">
        <x:v>EQ-ENV-002</x:v>
      </x:c>
      <x:c r="C14" s="81" t="str">
        <x:v>E102</x:v>
      </x:c>
      <x:c r="D14" s="81" t="str">
        <x:v>Correia dentada</x:v>
      </x:c>
      <x:c r="E14" s="81" t="str">
        <x:v>CORREIA</x:v>
      </x:c>
      <x:c r="F14" s="81" t="str">
        <x:v>ALTA</x:v>
      </x:c>
      <x:c r="G14" s="82" t="str">
        <x:v>Sincronismo do carrossel</x:v>
      </x:c>
    </x:row>
    <x:row r="15" ht="24" customHeight="1">
      <x:c r="A15" s="77" t="str">
        <x:v>CMP-E102-05</x:v>
      </x:c>
      <x:c r="B15" s="78" t="str">
        <x:v>EQ-ENV-002</x:v>
      </x:c>
      <x:c r="C15" s="78" t="str">
        <x:v>E102</x:v>
      </x:c>
      <x:c r="D15" s="78" t="str">
        <x:v>Sensor de nível</x:v>
      </x:c>
      <x:c r="E15" s="78" t="str">
        <x:v>SENSOR</x:v>
      </x:c>
      <x:c r="F15" s="78" t="str">
        <x:v>MEDIA</x:v>
      </x:c>
      <x:c r="G15" s="79" t="str">
        <x:v>Controle de enchimento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F9B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36" hidden="0" customWidth="1"/>
    <x:col min="4" max="4" width="24" hidden="0" customWidth="1"/>
    <x:col min="5" max="5" width="11" hidden="0" customWidth="1"/>
    <x:col min="6" max="6" width="16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3" hidden="0" customWidth="1"/>
  </x:cols>
  <x:sheetData>
    <x:row r="1">
      <x:c r="K1"/>
    </x:row>
    <x:row r="2">
      <x:c r="A2" s="1" t="str">
        <x:v>Materiais e estoque de teste</x:v>
      </x:c>
    </x:row>
    <x:row r="3">
      <x:c r="A3" s="2" t="str">
        <x:v>Estoque e valores fictícios. A coluna Estoque projetado considera as saídas registradas em Movimentos.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24" customHeight="1">
      <x:c r="A5" s="9" t="str">
        <x:v>ID Material</x:v>
      </x:c>
      <x:c r="B5" s="9" t="str">
        <x:v>SKU</x:v>
      </x:c>
      <x:c r="C5" s="9" t="str">
        <x:v>Nome técnico</x:v>
      </x:c>
      <x:c r="D5" s="9" t="str">
        <x:v>Nome para consulta</x:v>
      </x:c>
      <x:c r="E5" s="9" t="str">
        <x:v>Unidade</x:v>
      </x:c>
      <x:c r="F5" s="9" t="str">
        <x:v>Custo unitário</x:v>
      </x:c>
      <x:c r="G5" s="9" t="str">
        <x:v>Estoque inicial</x:v>
      </x:c>
      <x:c r="H5" s="9" t="str">
        <x:v>Estoque mínimo</x:v>
      </x:c>
      <x:c r="I5" s="9" t="str">
        <x:v>Saída teste</x:v>
      </x:c>
      <x:c r="J5" s="9" t="str">
        <x:v>Estoque projetado</x:v>
      </x:c>
      <x:c r="K5" s="9" t="str">
        <x:v>Situação</x:v>
      </x:c>
    </x:row>
    <x:row r="6" ht="24" customHeight="1">
      <x:c r="A6" s="74" t="str">
        <x:v>MAT-001</x:v>
      </x:c>
      <x:c r="B6" s="75" t="str">
        <x:v>ROL-6204-2RS</x:v>
      </x:c>
      <x:c r="C6" s="75" t="str">
        <x:v>Rolamento rígido de esferas 6204 2RS</x:v>
      </x:c>
      <x:c r="D6" s="75" t="str">
        <x:v>Rolamento 6204</x:v>
      </x:c>
      <x:c r="E6" s="75" t="str">
        <x:v>UN</x:v>
      </x:c>
      <x:c r="F6" s="83" t="n">
        <x:v>48.5</x:v>
      </x:c>
      <x:c r="G6" s="84" t="n">
        <x:v>12</x:v>
      </x:c>
      <x:c r="H6" s="84" t="n">
        <x:v>4</x:v>
      </x:c>
      <x:c r="I6" s="84" t="n">
        <x:f>SUMIF(Movimentos!$C$6:$C$20,B6,Movimentos!$E$6:$E$20)</x:f>
        <x:v>2</x:v>
      </x:c>
      <x:c r="J6" s="84" t="n">
        <x:f>G6-I6</x:f>
        <x:v>10</x:v>
      </x:c>
      <x:c r="K6" s="76" t="str">
        <x:f>IF(J6&lt;=H6,"REPOR","OK")</x:f>
        <x:v>OK</x:v>
      </x:c>
    </x:row>
    <x:row r="7" ht="24" customHeight="1">
      <x:c r="A7" s="80" t="str">
        <x:v>MAT-002</x:v>
      </x:c>
      <x:c r="B7" s="81" t="str">
        <x:v>ROL-6206-2RS</x:v>
      </x:c>
      <x:c r="C7" s="81" t="str">
        <x:v>Rolamento rígido de esferas 6206 2RS</x:v>
      </x:c>
      <x:c r="D7" s="81" t="str">
        <x:v>Rolamento 6206</x:v>
      </x:c>
      <x:c r="E7" s="81" t="str">
        <x:v>UN</x:v>
      </x:c>
      <x:c r="F7" s="85" t="n">
        <x:v>76.9</x:v>
      </x:c>
      <x:c r="G7" s="86" t="n">
        <x:v>8</x:v>
      </x:c>
      <x:c r="H7" s="86" t="n">
        <x:v>3</x:v>
      </x:c>
      <x:c r="I7" s="86" t="n">
        <x:f>SUMIF(Movimentos!$C$6:$C$20,B7,Movimentos!$E$6:$E$20)</x:f>
        <x:v>0</x:v>
      </x:c>
      <x:c r="J7" s="86" t="n">
        <x:f>G7-I7</x:f>
        <x:v>8</x:v>
      </x:c>
      <x:c r="K7" s="82" t="str">
        <x:f>IF(J7&lt;=H7,"REPOR","OK")</x:f>
        <x:v>OK</x:v>
      </x:c>
    </x:row>
    <x:row r="8" ht="24" customHeight="1">
      <x:c r="A8" s="80" t="str">
        <x:v>MAT-003</x:v>
      </x:c>
      <x:c r="B8" s="81" t="str">
        <x:v>COR-PVC-500</x:v>
      </x:c>
      <x:c r="C8" s="81" t="str">
        <x:v>Correia transportadora PVC 500 mm</x:v>
      </x:c>
      <x:c r="D8" s="81" t="str">
        <x:v>Correia da esteira</x:v>
      </x:c>
      <x:c r="E8" s="81" t="str">
        <x:v>M</x:v>
      </x:c>
      <x:c r="F8" s="85" t="n">
        <x:v>85</x:v>
      </x:c>
      <x:c r="G8" s="86" t="n">
        <x:v>30</x:v>
      </x:c>
      <x:c r="H8" s="86" t="n">
        <x:v>10</x:v>
      </x:c>
      <x:c r="I8" s="86" t="n">
        <x:f>SUMIF(Movimentos!$C$6:$C$20,B8,Movimentos!$E$6:$E$20)</x:f>
        <x:v>3</x:v>
      </x:c>
      <x:c r="J8" s="86" t="n">
        <x:f>G8-I8</x:f>
        <x:v>27</x:v>
      </x:c>
      <x:c r="K8" s="82" t="str">
        <x:f>IF(J8&lt;=H8,"REPOR","OK")</x:f>
        <x:v>OK</x:v>
      </x:c>
    </x:row>
    <x:row r="9" ht="24" customHeight="1">
      <x:c r="A9" s="80" t="str">
        <x:v>MAT-004</x:v>
      </x:c>
      <x:c r="B9" s="81" t="str">
        <x:v>COR-DEN-AT10</x:v>
      </x:c>
      <x:c r="C9" s="81" t="str">
        <x:v>Correia dentada AT10</x:v>
      </x:c>
      <x:c r="D9" s="81" t="str">
        <x:v>Correia dentada</x:v>
      </x:c>
      <x:c r="E9" s="81" t="str">
        <x:v>UN</x:v>
      </x:c>
      <x:c r="F9" s="85" t="n">
        <x:v>132</x:v>
      </x:c>
      <x:c r="G9" s="86" t="n">
        <x:v>5</x:v>
      </x:c>
      <x:c r="H9" s="86" t="n">
        <x:v>2</x:v>
      </x:c>
      <x:c r="I9" s="86" t="n">
        <x:f>SUMIF(Movimentos!$C$6:$C$20,B9,Movimentos!$E$6:$E$20)</x:f>
        <x:v>0</x:v>
      </x:c>
      <x:c r="J9" s="86" t="n">
        <x:f>G9-I9</x:f>
        <x:v>5</x:v>
      </x:c>
      <x:c r="K9" s="82" t="str">
        <x:f>IF(J9&lt;=H9,"REPOR","OK")</x:f>
        <x:v>OK</x:v>
      </x:c>
    </x:row>
    <x:row r="10" ht="24" customHeight="1">
      <x:c r="A10" s="80" t="str">
        <x:v>MAT-005</x:v>
      </x:c>
      <x:c r="B10" s="81" t="str">
        <x:v>SEN-FOTO-24V</x:v>
      </x:c>
      <x:c r="C10" s="81" t="str">
        <x:v>Sensor fotoelétrico 24 V</x:v>
      </x:c>
      <x:c r="D10" s="81" t="str">
        <x:v>Sensor de presença</x:v>
      </x:c>
      <x:c r="E10" s="81" t="str">
        <x:v>UN</x:v>
      </x:c>
      <x:c r="F10" s="85" t="n">
        <x:v>119.9</x:v>
      </x:c>
      <x:c r="G10" s="86" t="n">
        <x:v>6</x:v>
      </x:c>
      <x:c r="H10" s="86" t="n">
        <x:v>2</x:v>
      </x:c>
      <x:c r="I10" s="86" t="n">
        <x:f>SUMIF(Movimentos!$C$6:$C$20,B10,Movimentos!$E$6:$E$20)</x:f>
        <x:v>1</x:v>
      </x:c>
      <x:c r="J10" s="86" t="n">
        <x:f>G10-I10</x:f>
        <x:v>5</x:v>
      </x:c>
      <x:c r="K10" s="82" t="str">
        <x:f>IF(J10&lt;=H10,"REPOR","OK")</x:f>
        <x:v>OK</x:v>
      </x:c>
    </x:row>
    <x:row r="11" ht="24" customHeight="1">
      <x:c r="A11" s="80" t="str">
        <x:v>MAT-006</x:v>
      </x:c>
      <x:c r="B11" s="81" t="str">
        <x:v>VAL-PNEU-1-2</x:v>
      </x:c>
      <x:c r="C11" s="81" t="str">
        <x:v>Válvula pneumática 1/2</x:v>
      </x:c>
      <x:c r="D11" s="81" t="str">
        <x:v>Válvula pneumática</x:v>
      </x:c>
      <x:c r="E11" s="81" t="str">
        <x:v>UN</x:v>
      </x:c>
      <x:c r="F11" s="85" t="n">
        <x:v>210</x:v>
      </x:c>
      <x:c r="G11" s="86" t="n">
        <x:v>4</x:v>
      </x:c>
      <x:c r="H11" s="86" t="n">
        <x:v>2</x:v>
      </x:c>
      <x:c r="I11" s="86" t="n">
        <x:f>SUMIF(Movimentos!$C$6:$C$20,B11,Movimentos!$E$6:$E$20)</x:f>
        <x:v>0</x:v>
      </x:c>
      <x:c r="J11" s="86" t="n">
        <x:f>G11-I11</x:f>
        <x:v>4</x:v>
      </x:c>
      <x:c r="K11" s="82" t="str">
        <x:f>IF(J11&lt;=H11,"REPOR","OK")</x:f>
        <x:v>OK</x:v>
      </x:c>
    </x:row>
    <x:row r="12" ht="24" customHeight="1">
      <x:c r="A12" s="80" t="str">
        <x:v>MAT-007</x:v>
      </x:c>
      <x:c r="B12" s="81" t="str">
        <x:v>GRA-EP2-1KG</x:v>
      </x:c>
      <x:c r="C12" s="81" t="str">
        <x:v>Graxa EP2 1 kg</x:v>
      </x:c>
      <x:c r="D12" s="81" t="str">
        <x:v>Graxa EP2</x:v>
      </x:c>
      <x:c r="E12" s="81" t="str">
        <x:v>KG</x:v>
      </x:c>
      <x:c r="F12" s="85" t="n">
        <x:v>34.9</x:v>
      </x:c>
      <x:c r="G12" s="86" t="n">
        <x:v>10</x:v>
      </x:c>
      <x:c r="H12" s="86" t="n">
        <x:v>3</x:v>
      </x:c>
      <x:c r="I12" s="86" t="n">
        <x:f>SUMIF(Movimentos!$C$6:$C$20,B12,Movimentos!$E$6:$E$20)</x:f>
        <x:v>1</x:v>
      </x:c>
      <x:c r="J12" s="86" t="n">
        <x:f>G12-I12</x:f>
        <x:v>9</x:v>
      </x:c>
      <x:c r="K12" s="82" t="str">
        <x:f>IF(J12&lt;=H12,"REPOR","OK")</x:f>
        <x:v>OK</x:v>
      </x:c>
    </x:row>
    <x:row r="13" ht="24" customHeight="1">
      <x:c r="A13" s="80" t="str">
        <x:v>MAT-008</x:v>
      </x:c>
      <x:c r="B13" s="81" t="str">
        <x:v>PAR-M8X30</x:v>
      </x:c>
      <x:c r="C13" s="81" t="str">
        <x:v>Parafuso sextavado M8 x 30</x:v>
      </x:c>
      <x:c r="D13" s="81" t="str">
        <x:v>Parafuso M8</x:v>
      </x:c>
      <x:c r="E13" s="81" t="str">
        <x:v>UN</x:v>
      </x:c>
      <x:c r="F13" s="85" t="n">
        <x:v>1.8</x:v>
      </x:c>
      <x:c r="G13" s="86" t="n">
        <x:v>100</x:v>
      </x:c>
      <x:c r="H13" s="86" t="n">
        <x:v>20</x:v>
      </x:c>
      <x:c r="I13" s="86" t="n">
        <x:f>SUMIF(Movimentos!$C$6:$C$20,B13,Movimentos!$E$6:$E$20)</x:f>
        <x:v>4</x:v>
      </x:c>
      <x:c r="J13" s="86" t="n">
        <x:f>G13-I13</x:f>
        <x:v>96</x:v>
      </x:c>
      <x:c r="K13" s="82" t="str">
        <x:f>IF(J13&lt;=H13,"REPOR","OK")</x:f>
        <x:v>OK</x:v>
      </x:c>
    </x:row>
    <x:row r="14" ht="24" customHeight="1">
      <x:c r="A14" s="80" t="str">
        <x:v>MAT-009</x:v>
      </x:c>
      <x:c r="B14" s="81" t="str">
        <x:v>LIM-IND-500</x:v>
      </x:c>
      <x:c r="C14" s="81" t="str">
        <x:v>Limpador industrial 500 ml</x:v>
      </x:c>
      <x:c r="D14" s="81" t="str">
        <x:v>Limpador industrial</x:v>
      </x:c>
      <x:c r="E14" s="81" t="str">
        <x:v>UN</x:v>
      </x:c>
      <x:c r="F14" s="85" t="n">
        <x:v>18.5</x:v>
      </x:c>
      <x:c r="G14" s="86" t="n">
        <x:v>20</x:v>
      </x:c>
      <x:c r="H14" s="86" t="n">
        <x:v>5</x:v>
      </x:c>
      <x:c r="I14" s="86" t="n">
        <x:f>SUMIF(Movimentos!$C$6:$C$20,B14,Movimentos!$E$6:$E$20)</x:f>
        <x:v>0</x:v>
      </x:c>
      <x:c r="J14" s="86" t="n">
        <x:f>G14-I14</x:f>
        <x:v>20</x:v>
      </x:c>
      <x:c r="K14" s="82" t="str">
        <x:f>IF(J14&lt;=H14,"REPOR","OK")</x:f>
        <x:v>OK</x:v>
      </x:c>
    </x:row>
    <x:row r="15" ht="24" customHeight="1">
      <x:c r="A15" s="77" t="str">
        <x:v>MAT-010</x:v>
      </x:c>
      <x:c r="B15" s="78" t="str">
        <x:v>RET-40X62X7</x:v>
      </x:c>
      <x:c r="C15" s="78" t="str">
        <x:v>Retentor 40 x 62 x 7</x:v>
      </x:c>
      <x:c r="D15" s="78" t="str">
        <x:v>Retentor do motor</x:v>
      </x:c>
      <x:c r="E15" s="78" t="str">
        <x:v>UN</x:v>
      </x:c>
      <x:c r="F15" s="87" t="n">
        <x:v>32.4</x:v>
      </x:c>
      <x:c r="G15" s="88" t="n">
        <x:v>6</x:v>
      </x:c>
      <x:c r="H15" s="88" t="n">
        <x:v>2</x:v>
      </x:c>
      <x:c r="I15" s="88" t="n">
        <x:f>SUMIF(Movimentos!$C$6:$C$20,B15,Movimentos!$E$6:$E$20)</x:f>
        <x:v>0</x:v>
      </x:c>
      <x:c r="J15" s="88" t="n">
        <x:f>G15-I15</x:f>
        <x:v>6</x:v>
      </x:c>
      <x:c r="K15" s="79" t="str">
        <x:f>IF(J15&lt;=H15,"REPOR","OK")</x:f>
        <x:v>OK</x:v>
      </x:c>
    </x:row>
  </x:sheetData>
  <x:conditionalFormatting sqref="K6:K15">
    <x:cfRule type="containsText" dxfId="3" priority="1" operator="containsText" text="REPOR"/>
    <x:cfRule type="containsText" dxfId="4" priority="2" operator="containsText" text="OK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7F9B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3" hidden="0" customWidth="1"/>
    <x:col min="3" max="3" width="14" hidden="0" customWidth="1"/>
    <x:col min="4" max="4" width="34" hidden="0" customWidth="1"/>
    <x:col min="5" max="5" width="48" hidden="0" customWidth="1"/>
    <x:col min="6" max="6" width="20" hidden="0" customWidth="1"/>
    <x:col min="7" max="7" width="18" hidden="0" customWidth="1"/>
    <x:col min="8" max="8" width="10" hidden="0" customWidth="1"/>
    <x:col min="9" max="9" width="18" hidden="0" customWidth="1"/>
    <x:col min="10" max="10" width="10" hidden="0" customWidth="1"/>
    <x:col min="11" max="11" width="17" hidden="0" customWidth="1"/>
    <x:col min="12" max="12" width="44" hidden="0" customWidth="1"/>
  </x:cols>
  <x:sheetData>
    <x:row r="1">
      <x:c r="L1"/>
    </x:row>
    <x:row r="2">
      <x:c r="A2" s="1" t="str">
        <x:v>Cenários de OS</x:v>
      </x:c>
    </x:row>
    <x:row r="3">
      <x:c r="A3" s="2" t="str">
        <x:v>Ordens de serviço fictícias para validar os fluxos crítico, corretivo e preventivo.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 ht="30" customHeight="1">
      <x:c r="A5" s="9" t="str">
        <x:v>OS de teste</x:v>
      </x:c>
      <x:c r="B5" s="9" t="str">
        <x:v>Prioridade</x:v>
      </x:c>
      <x:c r="C5" s="9" t="str">
        <x:v>Equipamento</x:v>
      </x:c>
      <x:c r="D5" s="9" t="str">
        <x:v>Título</x:v>
      </x:c>
      <x:c r="E5" s="9" t="str">
        <x:v>Descrição</x:v>
      </x:c>
      <x:c r="F5" s="9" t="str">
        <x:v>Técnico sugerido</x:v>
      </x:c>
      <x:c r="G5" s="9" t="str">
        <x:v>Material 1</x:v>
      </x:c>
      <x:c r="H5" s="9" t="str">
        <x:v>Qtd. 1</x:v>
      </x:c>
      <x:c r="I5" s="9" t="str">
        <x:v>Material 2</x:v>
      </x:c>
      <x:c r="J5" s="9" t="str">
        <x:v>Qtd. 2</x:v>
      </x:c>
      <x:c r="K5" s="9" t="str">
        <x:v>Custo previsto</x:v>
      </x:c>
      <x:c r="L5" s="9" t="str">
        <x:v>Resultado esperado</x:v>
      </x:c>
    </x:row>
    <x:row r="6" ht="30" customHeight="1">
      <x:c r="A6" s="74" t="str">
        <x:v>OS-TESTE-001</x:v>
      </x:c>
      <x:c r="B6" s="75" t="str">
        <x:v>CRITICA</x:v>
      </x:c>
      <x:c r="C6" s="75" t="str">
        <x:v>E101</x:v>
      </x:c>
      <x:c r="D6" s="75" t="str">
        <x:v>Ruído no acionamento da esteira</x:v>
      </x:c>
      <x:c r="E6" s="75" t="str">
        <x:v>Ruído metálico no conjunto motriz durante operação.</x:v>
      </x:c>
      <x:c r="F6" s="75" t="str">
        <x:v>Tec Mecânico</x:v>
      </x:c>
      <x:c r="G6" s="75" t="str">
        <x:v>ROL-6204-2RS</x:v>
      </x:c>
      <x:c r="H6" s="75" t="n">
        <x:v>2</x:v>
      </x:c>
      <x:c r="I6" s="75" t="str">
        <x:v>COR-PVC-500</x:v>
      </x:c>
      <x:c r="J6" s="75" t="n">
        <x:v>3</x:v>
      </x:c>
      <x:c r="K6" s="83" t="n">
        <x:f>H6*SUMIF(Materiais!$B$6:$B$15,G6,Materiais!$F$6:$F$15)+J6*SUMIF(Materiais!$B$6:$B$15,I6,Materiais!$F$6:$F$15)</x:f>
        <x:v>352</x:v>
      </x:c>
      <x:c r="L6" s="76" t="str">
        <x:v>Aparece no PCM, executa, baixa material e registra custo.</x:v>
      </x:c>
    </x:row>
    <x:row r="7" ht="30" customHeight="1">
      <x:c r="A7" s="80" t="str">
        <x:v>OS-TESTE-002</x:v>
      </x:c>
      <x:c r="B7" s="81" t="str">
        <x:v>ALTA</x:v>
      </x:c>
      <x:c r="C7" s="81" t="str">
        <x:v>E102</x:v>
      </x:c>
      <x:c r="D7" s="81" t="str">
        <x:v>Falha intermitente de enchimento</x:v>
      </x:c>
      <x:c r="E7" s="81" t="str">
        <x:v>Sensor de nível apresenta leitura instável.</x:v>
      </x:c>
      <x:c r="F7" s="81" t="str">
        <x:v>Tec Elétrica</x:v>
      </x:c>
      <x:c r="G7" s="81" t="str">
        <x:v>SEN-FOTO-24V</x:v>
      </x:c>
      <x:c r="H7" s="81" t="n">
        <x:v>1</x:v>
      </x:c>
      <x:c r="I7" s="81" t="str">
        <x:v>LIM-IND-500</x:v>
      </x:c>
      <x:c r="J7" s="81" t="n">
        <x:v>1</x:v>
      </x:c>
      <x:c r="K7" s="85" t="n">
        <x:f>H7*SUMIF(Materiais!$B$6:$B$15,G7,Materiais!$F$6:$F$15)+J7*SUMIF(Materiais!$B$6:$B$15,I7,Materiais!$F$6:$F$15)</x:f>
        <x:v>138.4</x:v>
      </x:c>
      <x:c r="L7" s="82" t="str">
        <x:v>Conclui e deixa histórico para o equipamento E102.</x:v>
      </x:c>
    </x:row>
    <x:row r="8" ht="30" customHeight="1">
      <x:c r="A8" s="77" t="str">
        <x:v>OS-TESTE-003</x:v>
      </x:c>
      <x:c r="B8" s="78" t="str">
        <x:v>MEDIA</x:v>
      </x:c>
      <x:c r="C8" s="78" t="str">
        <x:v>E101</x:v>
      </x:c>
      <x:c r="D8" s="78" t="str">
        <x:v>Preventiva mensal da esteira</x:v>
      </x:c>
      <x:c r="E8" s="78" t="str">
        <x:v>Inspeção, limpeza, aperto e lubrificação programados.</x:v>
      </x:c>
      <x:c r="F8" s="78" t="str">
        <x:v>Tec Lubrificador</x:v>
      </x:c>
      <x:c r="G8" s="78" t="str">
        <x:v>GRA-EP2-1KG</x:v>
      </x:c>
      <x:c r="H8" s="78" t="n">
        <x:v>1</x:v>
      </x:c>
      <x:c r="I8" s="78" t="str">
        <x:v>PAR-M8X30</x:v>
      </x:c>
      <x:c r="J8" s="78" t="n">
        <x:v>4</x:v>
      </x:c>
      <x:c r="K8" s="87" t="n">
        <x:f>H8*SUMIF(Materiais!$B$6:$B$15,G8,Materiais!$F$6:$F$15)+J8*SUMIF(Materiais!$B$6:$B$15,I8,Materiais!$F$6:$F$15)</x:f>
        <x:v>42.1</x:v>
      </x:c>
      <x:c r="L8" s="79" t="str">
        <x:v>Conclui com checklist e custo de materiais.</x:v>
      </x:c>
    </x:row>
  </x:sheetData>
  <x:conditionalFormatting sqref="B6:B8">
    <x:cfRule type="containsText" dxfId="5" priority="1" operator="containsText" text="CRITICA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F9BB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9" hidden="0" customWidth="1"/>
    <x:col min="4" max="4" width="28" hidden="0" customWidth="1"/>
    <x:col min="5" max="5" width="13" hidden="0" customWidth="1"/>
    <x:col min="6" max="6" width="16" hidden="0" customWidth="1"/>
    <x:col min="7" max="7" width="16" hidden="0" customWidth="1"/>
    <x:col min="8" max="8" width="20" hidden="0" customWidth="1"/>
    <x:col min="9" max="9" width="42" hidden="0" customWidth="1"/>
  </x:cols>
  <x:sheetData>
    <x:row r="1">
      <x:c r="I1"/>
    </x:row>
    <x:row r="2">
      <x:c r="A2" s="1" t="str">
        <x:v>Movimentos de materiais</x:v>
      </x:c>
    </x:row>
    <x:row r="3">
      <x:c r="A3" s="2" t="str">
        <x:v>Registre as baixas realizadas durante o teste. Os exemplos abaixo atualizam o estoque projetado na aba Materiais.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</x:row>
    <x:row r="5" ht="24" customHeight="1">
      <x:c r="A5" s="9" t="str">
        <x:v>Data</x:v>
      </x:c>
      <x:c r="B5" s="9" t="str">
        <x:v>OS de teste</x:v>
      </x:c>
      <x:c r="C5" s="9" t="str">
        <x:v>SKU</x:v>
      </x:c>
      <x:c r="D5" s="9" t="str">
        <x:v>Material</x:v>
      </x:c>
      <x:c r="E5" s="9" t="str">
        <x:v>Quantidade</x:v>
      </x:c>
      <x:c r="F5" s="9" t="str">
        <x:v>Custo unitário</x:v>
      </x:c>
      <x:c r="G5" s="9" t="str">
        <x:v>Custo total</x:v>
      </x:c>
      <x:c r="H5" s="9" t="str">
        <x:v>Técnico</x:v>
      </x:c>
      <x:c r="I5" s="9" t="str">
        <x:v>Observação</x:v>
      </x:c>
    </x:row>
    <x:row r="6" ht="24" customHeight="1">
      <x:c r="A6" s="89" t="n">
        <x:v>46285</x:v>
      </x:c>
      <x:c r="B6" s="75" t="str">
        <x:v>OS-TESTE-001</x:v>
      </x:c>
      <x:c r="C6" s="75" t="str">
        <x:v>ROL-6204-2RS</x:v>
      </x:c>
      <x:c r="D6" s="75" t="str">
        <x:v>Rolamento 6204</x:v>
      </x:c>
      <x:c r="E6" s="84" t="n">
        <x:v>2</x:v>
      </x:c>
      <x:c r="F6" s="83" t="n">
        <x:v>48.5</x:v>
      </x:c>
      <x:c r="G6" s="83" t="n">
        <x:f>IF(C6="","",E6*F6)</x:f>
        <x:v>97</x:v>
      </x:c>
      <x:c r="H6" s="75" t="str">
        <x:v>Tec Mecânico</x:v>
      </x:c>
      <x:c r="I6" s="76" t="str">
        <x:v>Exemplo de troca do rolamento motriz.</x:v>
      </x:c>
    </x:row>
    <x:row r="7" ht="24" customHeight="1">
      <x:c r="A7" s="90" t="n">
        <x:v>46285</x:v>
      </x:c>
      <x:c r="B7" s="81" t="str">
        <x:v>OS-TESTE-001</x:v>
      </x:c>
      <x:c r="C7" s="81" t="str">
        <x:v>COR-PVC-500</x:v>
      </x:c>
      <x:c r="D7" s="81" t="str">
        <x:v>Correia da esteira</x:v>
      </x:c>
      <x:c r="E7" s="86" t="n">
        <x:v>3</x:v>
      </x:c>
      <x:c r="F7" s="85" t="n">
        <x:v>85</x:v>
      </x:c>
      <x:c r="G7" s="85" t="n">
        <x:f>IF(C7="","",E7*F7)</x:f>
        <x:v>255</x:v>
      </x:c>
      <x:c r="H7" s="81" t="str">
        <x:v>Tec Mecânico</x:v>
      </x:c>
      <x:c r="I7" s="82" t="str">
        <x:v>Exemplo de correia substituída.</x:v>
      </x:c>
    </x:row>
    <x:row r="8" ht="24" customHeight="1">
      <x:c r="A8" s="90" t="n">
        <x:v>46286</x:v>
      </x:c>
      <x:c r="B8" s="81" t="str">
        <x:v>OS-TESTE-002</x:v>
      </x:c>
      <x:c r="C8" s="81" t="str">
        <x:v>SEN-FOTO-24V</x:v>
      </x:c>
      <x:c r="D8" s="81" t="str">
        <x:v>Sensor de presença</x:v>
      </x:c>
      <x:c r="E8" s="86" t="n">
        <x:v>1</x:v>
      </x:c>
      <x:c r="F8" s="85" t="n">
        <x:v>119.9</x:v>
      </x:c>
      <x:c r="G8" s="85" t="n">
        <x:f>IF(C8="","",E8*F8)</x:f>
        <x:v>119.9</x:v>
      </x:c>
      <x:c r="H8" s="81" t="str">
        <x:v>Tec Elétrica</x:v>
      </x:c>
      <x:c r="I8" s="82" t="str">
        <x:v>Exemplo de substituição do sensor.</x:v>
      </x:c>
    </x:row>
    <x:row r="9" ht="24" customHeight="1">
      <x:c r="A9" s="90" t="n">
        <x:v>46287</x:v>
      </x:c>
      <x:c r="B9" s="81" t="str">
        <x:v>OS-TESTE-003</x:v>
      </x:c>
      <x:c r="C9" s="81" t="str">
        <x:v>GRA-EP2-1KG</x:v>
      </x:c>
      <x:c r="D9" s="81" t="str">
        <x:v>Graxa EP2</x:v>
      </x:c>
      <x:c r="E9" s="86" t="n">
        <x:v>1</x:v>
      </x:c>
      <x:c r="F9" s="85" t="n">
        <x:v>34.9</x:v>
      </x:c>
      <x:c r="G9" s="85" t="n">
        <x:f>IF(C9="","",E9*F9)</x:f>
        <x:v>34.9</x:v>
      </x:c>
      <x:c r="H9" s="81" t="str">
        <x:v>Tec Lubrificador</x:v>
      </x:c>
      <x:c r="I9" s="82" t="str">
        <x:v>Lubrificação preventiva.</x:v>
      </x:c>
    </x:row>
    <x:row r="10" ht="24" customHeight="1">
      <x:c r="A10" s="90" t="n">
        <x:v>46287</x:v>
      </x:c>
      <x:c r="B10" s="81" t="str">
        <x:v>OS-TESTE-003</x:v>
      </x:c>
      <x:c r="C10" s="81" t="str">
        <x:v>PAR-M8X30</x:v>
      </x:c>
      <x:c r="D10" s="81" t="str">
        <x:v>Parafuso M8</x:v>
      </x:c>
      <x:c r="E10" s="86" t="n">
        <x:v>4</x:v>
      </x:c>
      <x:c r="F10" s="85" t="n">
        <x:v>1.8</x:v>
      </x:c>
      <x:c r="G10" s="85" t="n">
        <x:f>IF(C10="","",E10*F10)</x:f>
        <x:v>7.2</x:v>
      </x:c>
      <x:c r="H10" s="81" t="str">
        <x:v>Tec Lubrificador</x:v>
      </x:c>
      <x:c r="I10" s="82" t="str">
        <x:v>Aperto e reposição de fixadores.</x:v>
      </x:c>
    </x:row>
    <x:row r="11" ht="24" customHeight="1">
      <x:c r="A11" s="91"/>
      <x:c r="B11" s="92"/>
      <x:c r="C11" s="92"/>
      <x:c r="D11" s="92"/>
      <x:c r="E11" s="93"/>
      <x:c r="F11" s="94"/>
      <x:c r="G11" s="94" t="str">
        <x:f>IF(C11="","",E11*F11)</x:f>
      </x:c>
      <x:c r="H11" s="92"/>
      <x:c r="I11" s="95"/>
    </x:row>
    <x:row r="12" ht="24" customHeight="1">
      <x:c r="A12" s="91"/>
      <x:c r="B12" s="92"/>
      <x:c r="C12" s="92"/>
      <x:c r="D12" s="92"/>
      <x:c r="E12" s="93"/>
      <x:c r="F12" s="94"/>
      <x:c r="G12" s="94" t="str">
        <x:f>IF(C12="","",E12*F12)</x:f>
      </x:c>
      <x:c r="H12" s="92"/>
      <x:c r="I12" s="95"/>
    </x:row>
    <x:row r="13" ht="24" customHeight="1">
      <x:c r="A13" s="91"/>
      <x:c r="B13" s="92"/>
      <x:c r="C13" s="92"/>
      <x:c r="D13" s="92"/>
      <x:c r="E13" s="93"/>
      <x:c r="F13" s="94"/>
      <x:c r="G13" s="94" t="str">
        <x:f>IF(C13="","",E13*F13)</x:f>
      </x:c>
      <x:c r="H13" s="92"/>
      <x:c r="I13" s="95"/>
    </x:row>
    <x:row r="14" ht="24" customHeight="1">
      <x:c r="A14" s="91"/>
      <x:c r="B14" s="92"/>
      <x:c r="C14" s="92"/>
      <x:c r="D14" s="92"/>
      <x:c r="E14" s="93"/>
      <x:c r="F14" s="94"/>
      <x:c r="G14" s="94" t="str">
        <x:f>IF(C14="","",E14*F14)</x:f>
      </x:c>
      <x:c r="H14" s="92"/>
      <x:c r="I14" s="95"/>
    </x:row>
    <x:row r="15" ht="24" customHeight="1">
      <x:c r="A15" s="91"/>
      <x:c r="B15" s="92"/>
      <x:c r="C15" s="92"/>
      <x:c r="D15" s="92"/>
      <x:c r="E15" s="93"/>
      <x:c r="F15" s="94"/>
      <x:c r="G15" s="94" t="str">
        <x:f>IF(C15="","",E15*F15)</x:f>
      </x:c>
      <x:c r="H15" s="92"/>
      <x:c r="I15" s="95"/>
    </x:row>
    <x:row r="16" ht="24" customHeight="1">
      <x:c r="A16" s="91"/>
      <x:c r="B16" s="92"/>
      <x:c r="C16" s="92"/>
      <x:c r="D16" s="92"/>
      <x:c r="E16" s="93"/>
      <x:c r="F16" s="94"/>
      <x:c r="G16" s="94" t="str">
        <x:f>IF(C16="","",E16*F16)</x:f>
      </x:c>
      <x:c r="H16" s="92"/>
      <x:c r="I16" s="95"/>
    </x:row>
    <x:row r="17" ht="24" customHeight="1">
      <x:c r="A17" s="91"/>
      <x:c r="B17" s="92"/>
      <x:c r="C17" s="92"/>
      <x:c r="D17" s="92"/>
      <x:c r="E17" s="93"/>
      <x:c r="F17" s="94"/>
      <x:c r="G17" s="94" t="str">
        <x:f>IF(C17="","",E17*F17)</x:f>
      </x:c>
      <x:c r="H17" s="92"/>
      <x:c r="I17" s="95"/>
    </x:row>
    <x:row r="18" ht="24" customHeight="1">
      <x:c r="A18" s="91"/>
      <x:c r="B18" s="92"/>
      <x:c r="C18" s="92"/>
      <x:c r="D18" s="92"/>
      <x:c r="E18" s="93"/>
      <x:c r="F18" s="94"/>
      <x:c r="G18" s="94" t="str">
        <x:f>IF(C18="","",E18*F18)</x:f>
      </x:c>
      <x:c r="H18" s="92"/>
      <x:c r="I18" s="95"/>
    </x:row>
    <x:row r="19" ht="24" customHeight="1">
      <x:c r="A19" s="91"/>
      <x:c r="B19" s="92"/>
      <x:c r="C19" s="92"/>
      <x:c r="D19" s="92"/>
      <x:c r="E19" s="93"/>
      <x:c r="F19" s="94"/>
      <x:c r="G19" s="94" t="str">
        <x:f>IF(C19="","",E19*F19)</x:f>
      </x:c>
      <x:c r="H19" s="92"/>
      <x:c r="I19" s="95"/>
    </x:row>
    <x:row r="20" ht="24" customHeight="1">
      <x:c r="A20" s="96"/>
      <x:c r="B20" s="97"/>
      <x:c r="C20" s="97"/>
      <x:c r="D20" s="97"/>
      <x:c r="E20" s="98"/>
      <x:c r="F20" s="99"/>
      <x:c r="G20" s="99" t="str">
        <x:f>IF(C20="","",E20*F20)</x:f>
      </x:c>
      <x:c r="H20" s="97"/>
      <x:c r="I20" s="100"/>
    </x:row>
  </x:sheetData>
  <x:pageMargins left="0.7" right="0.7" top="0.75" bottom="0.75" header="0.3" footer="0.3"/>
</x:worksheet>
</file>